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cchiblood\Desktop\Diplom\"/>
    </mc:Choice>
  </mc:AlternateContent>
  <xr:revisionPtr revIDLastSave="0" documentId="13_ncr:1_{77CC3B79-C7E3-4821-BD2E-D75392D1B1FB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Лист1" sheetId="1" r:id="rId1"/>
  </sheets>
  <definedNames>
    <definedName name="_xlnm._FilterDatabase" localSheetId="0" hidden="1">Лист1!$A$7:$E$37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5" i="1" l="1"/>
  <c r="B44" i="1"/>
  <c r="B43" i="1"/>
  <c r="B42" i="1"/>
  <c r="B41" i="1"/>
</calcChain>
</file>

<file path=xl/sharedStrings.xml><?xml version="1.0" encoding="utf-8"?>
<sst xmlns="http://schemas.openxmlformats.org/spreadsheetml/2006/main" count="132" uniqueCount="71">
  <si>
    <t>Отчёт о найденных багах</t>
  </si>
  <si>
    <t>№</t>
  </si>
  <si>
    <t>Название проверки</t>
  </si>
  <si>
    <t>Результат проверки</t>
  </si>
  <si>
    <t>Замечание и рекомендации</t>
  </si>
  <si>
    <t>Критичность функциональности</t>
  </si>
  <si>
    <t>Не прошел</t>
  </si>
  <si>
    <t>S1 Блокирующая</t>
  </si>
  <si>
    <t>S5 Тривиальная</t>
  </si>
  <si>
    <t>Присутствует 6 карточек блюд. На карточке "Пицца маргарита" изображение ссылается на битую ссылку, на карточке "Тирамису" вместо описания блюда написано "Вставить описание". Шрифты единообразны.</t>
  </si>
  <si>
    <t>Проверить кликаемость изображений</t>
  </si>
  <si>
    <t>Карточки и изображения не кликабельны. Возможность кликнуть предоставляется только на кнопках "Заказать".</t>
  </si>
  <si>
    <t xml:space="preserve">Кликнуть кнопку "Посмотреть полное меню" </t>
  </si>
  <si>
    <t>Страницы не существует (404)</t>
  </si>
  <si>
    <t>Наличие информационных карточек в блоке.</t>
  </si>
  <si>
    <t>Информация в каждой карточке указана, но указан явно неверный номер телефона.</t>
  </si>
  <si>
    <t>S3 Значительная</t>
  </si>
  <si>
    <t>S4 Незначительная</t>
  </si>
  <si>
    <t>Проверка карточки "Контакты". Кликнуть кнопку "Написать сообщение"</t>
  </si>
  <si>
    <t>Номер телефона фейковый, страницы в соц. сети с таким адресом не существует, почта открывается, письмо создается, но проверить ее достоверность возможность не предоставляется.</t>
  </si>
  <si>
    <t>S2 Критическая</t>
  </si>
  <si>
    <t>Наличие геометки и краткого описания прохода к ресторану. Корректность информации.</t>
  </si>
  <si>
    <t>Структура блока соответствует ожиданиям, на геометке указан не заявленный адрес. Под геометкой отсутствует адрес.</t>
  </si>
  <si>
    <t>Клик по геометке</t>
  </si>
  <si>
    <t>Результат перехода не соответствует заявленному адресу ресторана.</t>
  </si>
  <si>
    <t>Проверка наличия содержимого подвала сайта</t>
  </si>
  <si>
    <t>Заголовок "Контакты" присутствует, содержимого нет (контактной информации).</t>
  </si>
  <si>
    <t>Клик по ссылке "Вакансии"</t>
  </si>
  <si>
    <t>Клик по номеру телефона</t>
  </si>
  <si>
    <t>Ссылка не кликабельна</t>
  </si>
  <si>
    <t>Клик по email</t>
  </si>
  <si>
    <t>Клик по ссылке "VK"</t>
  </si>
  <si>
    <t>Клик по ссылке "ОК"</t>
  </si>
  <si>
    <t>Клик по ссылке "Telegram"</t>
  </si>
  <si>
    <t>Разрешение 412х915 (Google Pixel 7)</t>
  </si>
  <si>
    <t>Разрешение 1024х1366 (iPad Pro)</t>
  </si>
  <si>
    <t>Разрыв кнопки "Перейти к бронированию" и "Заброинровать онлайн", кнопки активны</t>
  </si>
  <si>
    <t>Изображения в карточках блюд имеют белые полосы, т.е. изображения динамически не подстраиваются под размер карточки и появляется фон карточки</t>
  </si>
  <si>
    <t>Проверить содержимое блока "Контактная информация"</t>
  </si>
  <si>
    <t>Номер телефона указан тестовый, проверить актуальность email не предоставляется возможным, часы работы отличаются от указанных на главной странице и в блоке "Часы работы"</t>
  </si>
  <si>
    <t>Вместо ОК, VK, указаны иные соц. сети.
Блок "Контакты" отсутствует полностью.</t>
  </si>
  <si>
    <t>Проверка наличия содержимого подвала сайта (Страница броинрования)</t>
  </si>
  <si>
    <t>Содержание и наличие заголовка страницы</t>
  </si>
  <si>
    <t>Вместо заголовка отображается галочка зеленого цвета.</t>
  </si>
  <si>
    <t>Проверить наличие кнопки "Отправить напоминание"</t>
  </si>
  <si>
    <t>Форматирование кнопки отличается от кнопки "Перейти на главную страницу"</t>
  </si>
  <si>
    <t>Проверить наличие напоминания на email</t>
  </si>
  <si>
    <t>Напоминание отсутствует.</t>
  </si>
  <si>
    <t>Кликнуть кнопку "Распечатать подтверждение"</t>
  </si>
  <si>
    <t>Вместо печати на 1 страницу печать разделена на 3 страницы, на 2 странице в нерегламентированном месте расположена шапка сайта, форма разделилась на 1 и второй лист.</t>
  </si>
  <si>
    <t>Проверка наличия содержимого подвала сайта (Страница подтверждения)</t>
  </si>
  <si>
    <t>Отсутствует блок "Социальные сети"</t>
  </si>
  <si>
    <t xml:space="preserve">12.12.2025 - 19.12.2025 г., было проведено функциональное тестирование веб-ресурса: https://intensso.vercel.app/, результаты проверок предоставлены ниже. </t>
  </si>
  <si>
    <t>Отчет о проведенном тестировании</t>
  </si>
  <si>
    <t>Критичность</t>
  </si>
  <si>
    <t>Кол-во дефектов/багов</t>
  </si>
  <si>
    <t>ВЫВОД: Сайт не может быть выпущен, поскольку в нем совершенно не реализованы функции, ради которых пользователи стали бы на него заходить.</t>
  </si>
  <si>
    <t>S1</t>
  </si>
  <si>
    <t>S2</t>
  </si>
  <si>
    <t>S3</t>
  </si>
  <si>
    <t>S4</t>
  </si>
  <si>
    <t>S5</t>
  </si>
  <si>
    <t>Наличие карточек блюд с описанием и изображением</t>
  </si>
  <si>
    <t>Кликнуть кнопку "Заказать" на карточке "Паста Карбонара"</t>
  </si>
  <si>
    <t>Кнопка не кликабельна</t>
  </si>
  <si>
    <t>Кликнуть кнопку "Заказать" на карточке "Пицца Маргарита"</t>
  </si>
  <si>
    <t>Кликнуть кнопку "Заказать" на карточке "Филе Миньон"</t>
  </si>
  <si>
    <t>Кликнуть кнопку "Заказать" на карточке "Тирамису"</t>
  </si>
  <si>
    <t>Кликнуть кнопку "Заказать" на карточке "Равиоли с трюфелем"</t>
  </si>
  <si>
    <t>Кликнуть кнопку "Заказать" на карточке "Салат Капрезе"</t>
  </si>
  <si>
    <t>Выводится окно "Спасибо за заказ" и случайный номер заказа. Т.е. функция корзины и онлайн заказа на сайте не реализована и выполнена в виде заглушки.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</si>
</sst>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indexed="64"/>
      <name val="Calibri"/>
    </font>
    <font>
      <sz val="10"/>
      <color indexed="64"/>
      <name val="Arial"/>
    </font>
    <font>
      <b/>
      <sz val="11"/>
      <color indexed="64"/>
      <name val="Arial"/>
    </font>
    <font>
      <b/>
      <sz val="10"/>
      <color indexed="64"/>
      <name val="Arial"/>
    </font>
    <font>
      <b/>
      <sz val="12"/>
      <color indexed="64"/>
      <name val="Arial"/>
    </font>
    <font>
      <sz val="11"/>
      <color indexed="64"/>
      <name val="Arial"/>
    </font>
    <font>
      <sz val="11"/>
      <color indexed="64"/>
      <name val="Arial"/>
      <family val="2"/>
      <charset val="204"/>
    </font>
    <font>
      <sz val="11"/>
      <color rgb="FF202020"/>
      <name val="Arial"/>
      <family val="2"/>
      <charset val="204"/>
    </font>
    <font>
      <b/>
      <sz val="12"/>
      <color indexed="64"/>
      <name val="Arial"/>
      <family val="2"/>
      <charset val="204"/>
    </font>
    <font>
      <b/>
      <sz val="10"/>
      <color indexed="64"/>
      <name val="Arial"/>
      <family val="2"/>
      <charset val="204"/>
    </font>
    <font>
      <b/>
      <sz val="14"/>
      <color indexed="64"/>
      <name val="Arial"/>
      <family val="2"/>
      <charset val="204"/>
    </font>
    <font>
      <b/>
      <sz val="11"/>
      <color indexed="64"/>
      <name val="Calibri"/>
      <family val="2"/>
      <charset val="204"/>
    </font>
    <font>
      <sz val="8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indexed="9"/>
        <bgColor auto="1"/>
      </patternFill>
    </fill>
  </fills>
  <borders count="1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5"/>
      </top>
      <bottom style="medium">
        <color theme="1"/>
      </bottom>
      <diagonal/>
    </border>
    <border>
      <left/>
      <right/>
      <top style="thin">
        <color theme="5"/>
      </top>
      <bottom style="medium">
        <color theme="1"/>
      </bottom>
      <diagonal/>
    </border>
    <border>
      <left/>
      <right style="medium">
        <color theme="1"/>
      </right>
      <top style="thin">
        <color theme="5"/>
      </top>
      <bottom style="medium">
        <color theme="1"/>
      </bottom>
      <diagonal/>
    </border>
  </borders>
  <cellStyleXfs count="1">
    <xf numFmtId="0" fontId="0" fillId="0" borderId="0"/>
  </cellStyleXfs>
  <cellXfs count="32">
    <xf numFmtId="0" fontId="1" fillId="0" borderId="0" xfId="0" applyFont="1"/>
    <xf numFmtId="0" fontId="1" fillId="0" borderId="1" xfId="0" applyFont="1" applyBorder="1"/>
    <xf numFmtId="0" fontId="1" fillId="0" borderId="3" xfId="0" applyFont="1" applyBorder="1"/>
    <xf numFmtId="49" fontId="4" fillId="2" borderId="4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Protection="1"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49" fontId="6" fillId="2" borderId="4" xfId="0" applyNumberFormat="1" applyFont="1" applyFill="1" applyBorder="1" applyAlignment="1" applyProtection="1">
      <alignment horizontal="center" vertical="center" wrapText="1"/>
      <protection locked="0"/>
    </xf>
    <xf numFmtId="49" fontId="4" fillId="2" borderId="4" xfId="0" applyNumberFormat="1" applyFont="1" applyFill="1" applyBorder="1" applyAlignment="1" applyProtection="1">
      <alignment horizontal="center" vertical="center" wrapText="1"/>
      <protection locked="0"/>
    </xf>
    <xf numFmtId="49" fontId="6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4" xfId="0" applyFont="1" applyFill="1" applyBorder="1" applyAlignment="1" applyProtection="1">
      <alignment horizontal="center" vertical="center" wrapText="1"/>
      <protection locked="0"/>
    </xf>
    <xf numFmtId="49" fontId="5" fillId="2" borderId="4" xfId="0" applyNumberFormat="1" applyFont="1" applyFill="1" applyBorder="1" applyAlignment="1" applyProtection="1">
      <alignment horizontal="center" vertical="center"/>
      <protection locked="0"/>
    </xf>
    <xf numFmtId="0" fontId="5" fillId="2" borderId="4" xfId="0" applyFont="1" applyFill="1" applyBorder="1" applyAlignment="1" applyProtection="1">
      <alignment horizontal="center" vertical="center"/>
      <protection locked="0"/>
    </xf>
    <xf numFmtId="49" fontId="6" fillId="2" borderId="4" xfId="0" applyNumberFormat="1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  <xf numFmtId="49" fontId="8" fillId="2" borderId="4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1" fillId="0" borderId="0" xfId="0" applyFont="1" applyBorder="1"/>
    <xf numFmtId="0" fontId="1" fillId="0" borderId="12" xfId="0" applyFont="1" applyBorder="1"/>
    <xf numFmtId="0" fontId="6" fillId="0" borderId="13" xfId="0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9" fillId="2" borderId="1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49" fontId="11" fillId="3" borderId="14" xfId="0" applyNumberFormat="1" applyFont="1" applyFill="1" applyBorder="1" applyAlignment="1">
      <alignment horizontal="center" vertical="center"/>
    </xf>
    <xf numFmtId="49" fontId="11" fillId="3" borderId="15" xfId="0" applyNumberFormat="1" applyFont="1" applyFill="1" applyBorder="1" applyAlignment="1">
      <alignment horizontal="center" vertical="center"/>
    </xf>
    <xf numFmtId="49" fontId="11" fillId="3" borderId="16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Arial"/>
        <a:cs typeface="Arial"/>
      </a:majorFont>
      <a:minorFont>
        <a:latin typeface="Helvetica Neue"/>
        <a:ea typeface="Arial"/>
        <a:cs typeface="Arial"/>
      </a:minorFont>
    </a:fontScheme>
    <a:fmtScheme name="Sheets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zoomScale="70" zoomScaleNormal="70" workbookViewId="0">
      <selection activeCell="F8" sqref="F8"/>
    </sheetView>
  </sheetViews>
  <sheetFormatPr defaultColWidth="12.42578125" defaultRowHeight="12.75" x14ac:dyDescent="0.2"/>
  <cols>
    <col min="1" max="1" width="17" customWidth="1"/>
    <col min="2" max="2" width="28" customWidth="1"/>
    <col min="3" max="3" width="31.85546875" customWidth="1"/>
    <col min="4" max="4" width="45.5703125" customWidth="1"/>
    <col min="5" max="5" width="28.7109375" customWidth="1"/>
    <col min="6" max="6" width="12.42578125" customWidth="1"/>
  </cols>
  <sheetData>
    <row r="1" spans="1:5" x14ac:dyDescent="0.2">
      <c r="A1" s="1"/>
      <c r="B1" s="1"/>
      <c r="C1" s="1"/>
      <c r="D1" s="1"/>
      <c r="E1" s="1"/>
    </row>
    <row r="2" spans="1:5" ht="15" x14ac:dyDescent="0.25">
      <c r="A2" s="21" t="s">
        <v>0</v>
      </c>
      <c r="B2" s="22"/>
      <c r="C2" s="22"/>
      <c r="D2" s="22"/>
      <c r="E2" s="22"/>
    </row>
    <row r="3" spans="1:5" x14ac:dyDescent="0.2">
      <c r="A3" s="1"/>
      <c r="B3" s="1"/>
      <c r="C3" s="1"/>
      <c r="D3" s="1"/>
      <c r="E3" s="1"/>
    </row>
    <row r="4" spans="1:5" x14ac:dyDescent="0.2">
      <c r="A4" s="23" t="s">
        <v>52</v>
      </c>
      <c r="B4" s="24"/>
      <c r="C4" s="24"/>
      <c r="D4" s="24"/>
      <c r="E4" s="24"/>
    </row>
    <row r="5" spans="1:5" x14ac:dyDescent="0.2">
      <c r="A5" s="1"/>
      <c r="B5" s="1"/>
      <c r="C5" s="1"/>
      <c r="D5" s="1"/>
      <c r="E5" s="1"/>
    </row>
    <row r="6" spans="1:5" ht="13.5" thickBot="1" x14ac:dyDescent="0.25">
      <c r="A6" s="2"/>
      <c r="B6" s="2"/>
      <c r="C6" s="2"/>
      <c r="D6" s="2"/>
      <c r="E6" s="2"/>
    </row>
    <row r="7" spans="1:5" s="4" customFormat="1" ht="32.25" thickBot="1" x14ac:dyDescent="0.25">
      <c r="A7" s="14" t="s">
        <v>1</v>
      </c>
      <c r="B7" s="3" t="s">
        <v>2</v>
      </c>
      <c r="C7" s="3" t="s">
        <v>3</v>
      </c>
      <c r="D7" s="7" t="s">
        <v>4</v>
      </c>
      <c r="E7" s="7" t="s">
        <v>5</v>
      </c>
    </row>
    <row r="8" spans="1:5" s="4" customFormat="1" ht="86.25" thickBot="1" x14ac:dyDescent="0.25">
      <c r="A8" s="5">
        <v>1</v>
      </c>
      <c r="B8" s="6" t="s">
        <v>62</v>
      </c>
      <c r="C8" s="10" t="s">
        <v>6</v>
      </c>
      <c r="D8" s="8" t="s">
        <v>9</v>
      </c>
      <c r="E8" s="13" t="s">
        <v>16</v>
      </c>
    </row>
    <row r="9" spans="1:5" s="4" customFormat="1" ht="43.5" thickBot="1" x14ac:dyDescent="0.25">
      <c r="A9" s="5">
        <v>2</v>
      </c>
      <c r="B9" s="6" t="s">
        <v>69</v>
      </c>
      <c r="C9" s="10" t="s">
        <v>6</v>
      </c>
      <c r="D9" s="8" t="s">
        <v>64</v>
      </c>
      <c r="E9" s="13" t="s">
        <v>20</v>
      </c>
    </row>
    <row r="10" spans="1:5" s="4" customFormat="1" ht="43.5" thickBot="1" x14ac:dyDescent="0.25">
      <c r="A10" s="5">
        <v>3</v>
      </c>
      <c r="B10" s="6" t="s">
        <v>68</v>
      </c>
      <c r="C10" s="10" t="s">
        <v>6</v>
      </c>
      <c r="D10" s="8" t="s">
        <v>64</v>
      </c>
      <c r="E10" s="13" t="s">
        <v>20</v>
      </c>
    </row>
    <row r="11" spans="1:5" s="4" customFormat="1" ht="57.75" thickBot="1" x14ac:dyDescent="0.25">
      <c r="A11" s="5">
        <v>4</v>
      </c>
      <c r="B11" s="6" t="s">
        <v>67</v>
      </c>
      <c r="C11" s="10" t="s">
        <v>6</v>
      </c>
      <c r="D11" s="8" t="s">
        <v>70</v>
      </c>
      <c r="E11" s="12" t="s">
        <v>7</v>
      </c>
    </row>
    <row r="12" spans="1:5" s="4" customFormat="1" ht="43.5" thickBot="1" x14ac:dyDescent="0.25">
      <c r="A12" s="5">
        <v>5</v>
      </c>
      <c r="B12" s="6" t="s">
        <v>66</v>
      </c>
      <c r="C12" s="10" t="s">
        <v>6</v>
      </c>
      <c r="D12" s="8" t="s">
        <v>64</v>
      </c>
      <c r="E12" s="13" t="s">
        <v>20</v>
      </c>
    </row>
    <row r="13" spans="1:5" s="4" customFormat="1" ht="43.5" thickBot="1" x14ac:dyDescent="0.25">
      <c r="A13" s="5">
        <v>6</v>
      </c>
      <c r="B13" s="6" t="s">
        <v>65</v>
      </c>
      <c r="C13" s="10" t="s">
        <v>6</v>
      </c>
      <c r="D13" s="8" t="s">
        <v>64</v>
      </c>
      <c r="E13" s="13" t="s">
        <v>20</v>
      </c>
    </row>
    <row r="14" spans="1:5" s="4" customFormat="1" ht="43.5" thickBot="1" x14ac:dyDescent="0.25">
      <c r="A14" s="5">
        <v>7</v>
      </c>
      <c r="B14" s="6" t="s">
        <v>63</v>
      </c>
      <c r="C14" s="10" t="s">
        <v>6</v>
      </c>
      <c r="D14" s="8" t="s">
        <v>64</v>
      </c>
      <c r="E14" s="13" t="s">
        <v>20</v>
      </c>
    </row>
    <row r="15" spans="1:5" s="4" customFormat="1" ht="43.5" thickBot="1" x14ac:dyDescent="0.25">
      <c r="A15" s="5">
        <v>8</v>
      </c>
      <c r="B15" s="6" t="s">
        <v>10</v>
      </c>
      <c r="C15" s="10" t="s">
        <v>6</v>
      </c>
      <c r="D15" s="6" t="s">
        <v>11</v>
      </c>
      <c r="E15" s="12" t="s">
        <v>17</v>
      </c>
    </row>
    <row r="16" spans="1:5" s="4" customFormat="1" ht="43.5" thickBot="1" x14ac:dyDescent="0.25">
      <c r="A16" s="5">
        <v>9</v>
      </c>
      <c r="B16" s="6" t="s">
        <v>12</v>
      </c>
      <c r="C16" s="11" t="s">
        <v>6</v>
      </c>
      <c r="D16" s="9" t="s">
        <v>13</v>
      </c>
      <c r="E16" s="13" t="s">
        <v>7</v>
      </c>
    </row>
    <row r="17" spans="1:5" s="4" customFormat="1" ht="46.5" customHeight="1" thickBot="1" x14ac:dyDescent="0.25">
      <c r="A17" s="5">
        <v>10</v>
      </c>
      <c r="B17" s="15" t="s">
        <v>14</v>
      </c>
      <c r="C17" s="11" t="s">
        <v>6</v>
      </c>
      <c r="D17" s="9" t="s">
        <v>15</v>
      </c>
      <c r="E17" s="13" t="s">
        <v>16</v>
      </c>
    </row>
    <row r="18" spans="1:5" s="4" customFormat="1" ht="72" thickBot="1" x14ac:dyDescent="0.25">
      <c r="A18" s="5">
        <v>11</v>
      </c>
      <c r="B18" s="6" t="s">
        <v>18</v>
      </c>
      <c r="C18" s="11" t="s">
        <v>6</v>
      </c>
      <c r="D18" s="9" t="s">
        <v>19</v>
      </c>
      <c r="E18" s="13" t="s">
        <v>20</v>
      </c>
    </row>
    <row r="19" spans="1:5" s="4" customFormat="1" ht="72" thickBot="1" x14ac:dyDescent="0.25">
      <c r="A19" s="5">
        <v>12</v>
      </c>
      <c r="B19" s="6" t="s">
        <v>21</v>
      </c>
      <c r="C19" s="11" t="s">
        <v>6</v>
      </c>
      <c r="D19" s="6" t="s">
        <v>22</v>
      </c>
      <c r="E19" s="12" t="s">
        <v>16</v>
      </c>
    </row>
    <row r="20" spans="1:5" s="4" customFormat="1" ht="29.25" thickBot="1" x14ac:dyDescent="0.25">
      <c r="A20" s="5">
        <v>13</v>
      </c>
      <c r="B20" s="6" t="s">
        <v>23</v>
      </c>
      <c r="C20" s="11" t="s">
        <v>6</v>
      </c>
      <c r="D20" s="6" t="s">
        <v>24</v>
      </c>
      <c r="E20" s="12" t="s">
        <v>16</v>
      </c>
    </row>
    <row r="21" spans="1:5" s="4" customFormat="1" ht="43.5" thickBot="1" x14ac:dyDescent="0.25">
      <c r="A21" s="5">
        <v>14</v>
      </c>
      <c r="B21" s="6" t="s">
        <v>25</v>
      </c>
      <c r="C21" s="11" t="s">
        <v>6</v>
      </c>
      <c r="D21" s="6" t="s">
        <v>26</v>
      </c>
      <c r="E21" s="12" t="s">
        <v>20</v>
      </c>
    </row>
    <row r="22" spans="1:5" s="4" customFormat="1" ht="29.25" thickBot="1" x14ac:dyDescent="0.25">
      <c r="A22" s="5">
        <v>15</v>
      </c>
      <c r="B22" s="6" t="s">
        <v>27</v>
      </c>
      <c r="C22" s="11" t="s">
        <v>6</v>
      </c>
      <c r="D22" s="6" t="s">
        <v>13</v>
      </c>
      <c r="E22" s="12" t="s">
        <v>20</v>
      </c>
    </row>
    <row r="23" spans="1:5" s="4" customFormat="1" ht="46.5" customHeight="1" thickBot="1" x14ac:dyDescent="0.25">
      <c r="A23" s="5">
        <v>16</v>
      </c>
      <c r="B23" s="6" t="s">
        <v>28</v>
      </c>
      <c r="C23" s="11" t="s">
        <v>6</v>
      </c>
      <c r="D23" s="6" t="s">
        <v>29</v>
      </c>
      <c r="E23" s="12" t="s">
        <v>20</v>
      </c>
    </row>
    <row r="24" spans="1:5" s="4" customFormat="1" ht="15" thickBot="1" x14ac:dyDescent="0.25">
      <c r="A24" s="5">
        <v>17</v>
      </c>
      <c r="B24" s="6" t="s">
        <v>30</v>
      </c>
      <c r="C24" s="11" t="s">
        <v>6</v>
      </c>
      <c r="D24" s="6" t="s">
        <v>29</v>
      </c>
      <c r="E24" s="12" t="s">
        <v>20</v>
      </c>
    </row>
    <row r="25" spans="1:5" s="4" customFormat="1" ht="15" thickBot="1" x14ac:dyDescent="0.25">
      <c r="A25" s="5">
        <v>18</v>
      </c>
      <c r="B25" s="6" t="s">
        <v>31</v>
      </c>
      <c r="C25" s="11" t="s">
        <v>6</v>
      </c>
      <c r="D25" s="6" t="s">
        <v>13</v>
      </c>
      <c r="E25" s="12" t="s">
        <v>20</v>
      </c>
    </row>
    <row r="26" spans="1:5" s="4" customFormat="1" ht="15" thickBot="1" x14ac:dyDescent="0.25">
      <c r="A26" s="5">
        <v>19</v>
      </c>
      <c r="B26" s="6" t="s">
        <v>32</v>
      </c>
      <c r="C26" s="11" t="s">
        <v>6</v>
      </c>
      <c r="D26" s="6" t="s">
        <v>13</v>
      </c>
      <c r="E26" s="12" t="s">
        <v>20</v>
      </c>
    </row>
    <row r="27" spans="1:5" s="4" customFormat="1" ht="15" thickBot="1" x14ac:dyDescent="0.25">
      <c r="A27" s="5">
        <v>20</v>
      </c>
      <c r="B27" s="6" t="s">
        <v>33</v>
      </c>
      <c r="C27" s="11" t="s">
        <v>6</v>
      </c>
      <c r="D27" s="6" t="s">
        <v>13</v>
      </c>
      <c r="E27" s="12" t="s">
        <v>20</v>
      </c>
    </row>
    <row r="28" spans="1:5" s="4" customFormat="1" ht="29.25" thickBot="1" x14ac:dyDescent="0.25">
      <c r="A28" s="5">
        <v>21</v>
      </c>
      <c r="B28" s="6" t="s">
        <v>34</v>
      </c>
      <c r="C28" s="11" t="s">
        <v>6</v>
      </c>
      <c r="D28" s="6" t="s">
        <v>36</v>
      </c>
      <c r="E28" s="12" t="s">
        <v>8</v>
      </c>
    </row>
    <row r="29" spans="1:5" s="4" customFormat="1" ht="72" thickBot="1" x14ac:dyDescent="0.25">
      <c r="A29" s="5">
        <v>22</v>
      </c>
      <c r="B29" s="6" t="s">
        <v>35</v>
      </c>
      <c r="C29" s="11" t="s">
        <v>6</v>
      </c>
      <c r="D29" s="6" t="s">
        <v>37</v>
      </c>
      <c r="E29" s="12" t="s">
        <v>8</v>
      </c>
    </row>
    <row r="30" spans="1:5" s="4" customFormat="1" ht="72" thickBot="1" x14ac:dyDescent="0.25">
      <c r="A30" s="5">
        <v>23</v>
      </c>
      <c r="B30" s="31" t="s">
        <v>38</v>
      </c>
      <c r="C30" s="11" t="s">
        <v>6</v>
      </c>
      <c r="D30" s="6" t="s">
        <v>39</v>
      </c>
      <c r="E30" s="12" t="s">
        <v>20</v>
      </c>
    </row>
    <row r="31" spans="1:5" s="4" customFormat="1" ht="57.75" thickBot="1" x14ac:dyDescent="0.25">
      <c r="A31" s="5">
        <v>24</v>
      </c>
      <c r="B31" s="6" t="s">
        <v>41</v>
      </c>
      <c r="C31" s="11" t="s">
        <v>6</v>
      </c>
      <c r="D31" s="6" t="s">
        <v>40</v>
      </c>
      <c r="E31" s="12" t="s">
        <v>20</v>
      </c>
    </row>
    <row r="32" spans="1:5" s="4" customFormat="1" ht="29.25" thickBot="1" x14ac:dyDescent="0.25">
      <c r="A32" s="5">
        <v>25</v>
      </c>
      <c r="B32" s="6" t="s">
        <v>42</v>
      </c>
      <c r="C32" s="11" t="s">
        <v>6</v>
      </c>
      <c r="D32" s="6" t="s">
        <v>43</v>
      </c>
      <c r="E32" s="12" t="s">
        <v>8</v>
      </c>
    </row>
    <row r="33" spans="1:5" s="4" customFormat="1" ht="43.5" thickBot="1" x14ac:dyDescent="0.25">
      <c r="A33" s="5">
        <v>26</v>
      </c>
      <c r="B33" s="6" t="s">
        <v>44</v>
      </c>
      <c r="C33" s="11" t="s">
        <v>6</v>
      </c>
      <c r="D33" s="6" t="s">
        <v>45</v>
      </c>
      <c r="E33" s="12" t="s">
        <v>8</v>
      </c>
    </row>
    <row r="34" spans="1:5" s="4" customFormat="1" ht="29.25" thickBot="1" x14ac:dyDescent="0.25">
      <c r="A34" s="5">
        <v>27</v>
      </c>
      <c r="B34" s="6" t="s">
        <v>46</v>
      </c>
      <c r="C34" s="11" t="s">
        <v>6</v>
      </c>
      <c r="D34" s="6" t="s">
        <v>47</v>
      </c>
      <c r="E34" s="12" t="s">
        <v>20</v>
      </c>
    </row>
    <row r="35" spans="1:5" s="4" customFormat="1" ht="72" thickBot="1" x14ac:dyDescent="0.25">
      <c r="A35" s="5">
        <v>28</v>
      </c>
      <c r="B35" s="6" t="s">
        <v>48</v>
      </c>
      <c r="C35" s="11" t="s">
        <v>6</v>
      </c>
      <c r="D35" s="6" t="s">
        <v>49</v>
      </c>
      <c r="E35" s="12" t="s">
        <v>17</v>
      </c>
    </row>
    <row r="36" spans="1:5" s="4" customFormat="1" ht="57.75" thickBot="1" x14ac:dyDescent="0.25">
      <c r="A36" s="5">
        <v>29</v>
      </c>
      <c r="B36" s="6" t="s">
        <v>50</v>
      </c>
      <c r="C36" s="11" t="s">
        <v>6</v>
      </c>
      <c r="D36" s="6" t="s">
        <v>51</v>
      </c>
      <c r="E36" s="12" t="s">
        <v>20</v>
      </c>
    </row>
    <row r="37" spans="1:5" s="4" customFormat="1" ht="15" thickBot="1" x14ac:dyDescent="0.25">
      <c r="A37" s="5"/>
      <c r="B37" s="6"/>
      <c r="C37" s="11"/>
      <c r="D37" s="6"/>
      <c r="E37" s="12"/>
    </row>
    <row r="38" spans="1:5" ht="13.5" thickBot="1" x14ac:dyDescent="0.25"/>
    <row r="39" spans="1:5" ht="39.75" customHeight="1" x14ac:dyDescent="0.2">
      <c r="A39" s="25" t="s">
        <v>53</v>
      </c>
      <c r="B39" s="26"/>
      <c r="C39" s="26"/>
      <c r="D39" s="26"/>
      <c r="E39" s="27"/>
    </row>
    <row r="40" spans="1:5" ht="14.25" x14ac:dyDescent="0.2">
      <c r="A40" s="17" t="s">
        <v>54</v>
      </c>
      <c r="B40" s="16" t="s">
        <v>55</v>
      </c>
      <c r="C40" s="18"/>
      <c r="D40" s="18"/>
      <c r="E40" s="19"/>
    </row>
    <row r="41" spans="1:5" ht="14.25" x14ac:dyDescent="0.2">
      <c r="A41" s="17" t="s">
        <v>57</v>
      </c>
      <c r="B41" s="16">
        <f>COUNTIF(E8:E36, "S1 Блокирующая")</f>
        <v>2</v>
      </c>
      <c r="C41" s="18"/>
      <c r="D41" s="18"/>
      <c r="E41" s="19"/>
    </row>
    <row r="42" spans="1:5" ht="14.25" x14ac:dyDescent="0.2">
      <c r="A42" s="20" t="s">
        <v>58</v>
      </c>
      <c r="B42" s="16">
        <f>COUNTIF($E8:$E36, "S2 Критическая")</f>
        <v>17</v>
      </c>
      <c r="C42" s="18"/>
      <c r="D42" s="18"/>
      <c r="E42" s="19"/>
    </row>
    <row r="43" spans="1:5" ht="14.25" x14ac:dyDescent="0.2">
      <c r="A43" s="17" t="s">
        <v>59</v>
      </c>
      <c r="B43" s="16">
        <f>COUNTIF($E8:$E36, "S3 Значительная")</f>
        <v>4</v>
      </c>
      <c r="C43" s="18"/>
      <c r="D43" s="18"/>
      <c r="E43" s="19"/>
    </row>
    <row r="44" spans="1:5" ht="14.25" x14ac:dyDescent="0.2">
      <c r="A44" s="20" t="s">
        <v>60</v>
      </c>
      <c r="B44" s="16">
        <f>COUNTIF($E8:$E36, "S4 Незначительная")</f>
        <v>2</v>
      </c>
      <c r="C44" s="18"/>
      <c r="D44" s="18"/>
      <c r="E44" s="19"/>
    </row>
    <row r="45" spans="1:5" ht="14.25" x14ac:dyDescent="0.2">
      <c r="A45" s="17" t="s">
        <v>61</v>
      </c>
      <c r="B45" s="16">
        <f>COUNTIF($E8:$E36, "S5 Тривиальная")</f>
        <v>4</v>
      </c>
      <c r="C45" s="18"/>
      <c r="D45" s="18"/>
      <c r="E45" s="19"/>
    </row>
    <row r="46" spans="1:5" ht="31.5" customHeight="1" thickBot="1" x14ac:dyDescent="0.25">
      <c r="A46" s="28" t="s">
        <v>56</v>
      </c>
      <c r="B46" s="29"/>
      <c r="C46" s="29"/>
      <c r="D46" s="29"/>
      <c r="E46" s="30"/>
    </row>
  </sheetData>
  <autoFilter ref="A7:E37" xr:uid="{00000000-0001-0000-0000-000000000000}">
    <sortState xmlns:xlrd2="http://schemas.microsoft.com/office/spreadsheetml/2017/richdata2" ref="A8:E37">
      <sortCondition ref="A7:A37"/>
    </sortState>
  </autoFilter>
  <mergeCells count="4">
    <mergeCell ref="A2:E2"/>
    <mergeCell ref="A4:E4"/>
    <mergeCell ref="A39:E39"/>
    <mergeCell ref="A46:E46"/>
  </mergeCells>
  <phoneticPr fontId="12" type="noConversion"/>
  <pageMargins left="0.70000004768371604" right="0.70000004768371604" top="0.75" bottom="0.75" header="0" footer="0"/>
  <pageSetup fitToWidth="0" fitToHeight="0" orientation="landscape" r:id="rId1"/>
  <headerFooter>
    <oddFooter>&amp;C&amp;"Helvetica Neue,Regular"&amp;P&amp;"-,Regular"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Васин Вениамин Викторович</cp:lastModifiedBy>
  <cp:revision>1</cp:revision>
  <dcterms:modified xsi:type="dcterms:W3CDTF">2025-12-19T10:57:33Z</dcterms:modified>
</cp:coreProperties>
</file>